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126"/>
  <workbookPr/>
  <mc:AlternateContent xmlns:mc="http://schemas.openxmlformats.org/markup-compatibility/2006">
    <mc:Choice Requires="x15">
      <x15ac:absPath xmlns:x15ac="http://schemas.microsoft.com/office/spreadsheetml/2010/11/ac" url="C:\Users\Edison\OneDrive\Documentos\UFF\Livro_transferências\Livro_Thaina&amp;Rhuan\"/>
    </mc:Choice>
  </mc:AlternateContent>
  <xr:revisionPtr revIDLastSave="98" documentId="8_{9F8ABCEA-44BA-433C-AFD6-E15F4ED5FE9C}" xr6:coauthVersionLast="40" xr6:coauthVersionMax="40" xr10:uidLastSave="{EBBAF255-7F65-49F6-8B25-F4469BA62A77}"/>
  <bookViews>
    <workbookView xWindow="0" yWindow="0" windowWidth="22992" windowHeight="8364" xr2:uid="{17BD46FF-7E7C-4BC0-9D47-B20B8D30DBB9}"/>
  </bookViews>
  <sheets>
    <sheet name="EUPS" sheetId="14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23" i="14" l="1"/>
  <c r="K33" i="14" s="1"/>
  <c r="D23" i="14"/>
  <c r="K32" i="14" l="1"/>
  <c r="K26" i="14"/>
  <c r="K30" i="14"/>
  <c r="K23" i="14"/>
  <c r="K27" i="14"/>
  <c r="K31" i="14"/>
  <c r="K24" i="14"/>
  <c r="K28" i="14"/>
  <c r="K25" i="14"/>
  <c r="K29" i="14"/>
  <c r="C23" i="14" l="1"/>
  <c r="A23" i="14" s="1"/>
</calcChain>
</file>

<file path=xl/sharedStrings.xml><?xml version="1.0" encoding="utf-8"?>
<sst xmlns="http://schemas.openxmlformats.org/spreadsheetml/2006/main" count="78" uniqueCount="77">
  <si>
    <t>Mês</t>
  </si>
  <si>
    <t>Janeiro</t>
  </si>
  <si>
    <t>Fevereiro</t>
  </si>
  <si>
    <t>Março</t>
  </si>
  <si>
    <t>Abril</t>
  </si>
  <si>
    <t>Junho</t>
  </si>
  <si>
    <t>Julho</t>
  </si>
  <si>
    <t>Agosto</t>
  </si>
  <si>
    <t>Setembro</t>
  </si>
  <si>
    <t>Outubro</t>
  </si>
  <si>
    <t>Novembro</t>
  </si>
  <si>
    <t>Dezembro</t>
  </si>
  <si>
    <t>Input</t>
  </si>
  <si>
    <t>Output</t>
  </si>
  <si>
    <t>Perda de Solo</t>
  </si>
  <si>
    <t xml:space="preserve">Erodibilidade do solo </t>
  </si>
  <si>
    <t>Erosividade da Chuva</t>
  </si>
  <si>
    <t xml:space="preserve">Fator topográfico </t>
  </si>
  <si>
    <t xml:space="preserve">Comprimento da rampa </t>
  </si>
  <si>
    <t xml:space="preserve">Declividade </t>
  </si>
  <si>
    <t>Variável Antrópica</t>
  </si>
  <si>
    <t>Precipitação média mensal</t>
  </si>
  <si>
    <t>Precipitação média anual</t>
  </si>
  <si>
    <t>Índice de erosão média mensal</t>
  </si>
  <si>
    <t>PS (t/ha.ano)</t>
  </si>
  <si>
    <t xml:space="preserve">K (t.h/Mj.mm) </t>
  </si>
  <si>
    <t>R (MJ.mm/ha.h.ano)</t>
  </si>
  <si>
    <t>LS</t>
  </si>
  <si>
    <t>L (m)</t>
  </si>
  <si>
    <t>S (%)</t>
  </si>
  <si>
    <t>CP (Adimensional)</t>
  </si>
  <si>
    <t>r (mm)</t>
  </si>
  <si>
    <t>P (mm)</t>
  </si>
  <si>
    <t>I30</t>
  </si>
  <si>
    <t>PS = K*R*LS*CP</t>
  </si>
  <si>
    <t>Latossolo V-A -&gt; 0,013 - 0,020</t>
  </si>
  <si>
    <t>S(%)</t>
  </si>
  <si>
    <r>
      <t>PS = perda de solo (t*ha</t>
    </r>
    <r>
      <rPr>
        <vertAlign val="superscript"/>
        <sz val="14"/>
        <color theme="1"/>
        <rFont val="Aptos Narrow"/>
        <family val="2"/>
        <scheme val="minor"/>
      </rPr>
      <t>-1</t>
    </r>
    <r>
      <rPr>
        <sz val="14"/>
        <color theme="1"/>
        <rFont val="Aptos Narrow"/>
        <family val="2"/>
        <scheme val="minor"/>
      </rPr>
      <t>*ano</t>
    </r>
    <r>
      <rPr>
        <vertAlign val="superscript"/>
        <sz val="14"/>
        <color theme="1"/>
        <rFont val="Aptos Narrow"/>
        <family val="2"/>
        <scheme val="minor"/>
      </rPr>
      <t>-1</t>
    </r>
    <r>
      <rPr>
        <sz val="14"/>
        <color theme="1"/>
        <rFont val="Aptos Narrow"/>
        <family val="2"/>
        <scheme val="minor"/>
      </rPr>
      <t>)</t>
    </r>
  </si>
  <si>
    <t>Terra roxa -&gt; 0,013</t>
  </si>
  <si>
    <t>Suave</t>
  </si>
  <si>
    <r>
      <t>K = erodibilidade do solo (t*h*MJ</t>
    </r>
    <r>
      <rPr>
        <vertAlign val="superscript"/>
        <sz val="14"/>
        <color theme="1"/>
        <rFont val="Aptos Narrow"/>
        <family val="2"/>
        <scheme val="minor"/>
      </rPr>
      <t>-1</t>
    </r>
    <r>
      <rPr>
        <sz val="14"/>
        <color theme="1"/>
        <rFont val="Aptos Narrow"/>
        <family val="2"/>
        <scheme val="minor"/>
      </rPr>
      <t>*mm</t>
    </r>
    <r>
      <rPr>
        <vertAlign val="superscript"/>
        <sz val="14"/>
        <color theme="1"/>
        <rFont val="Aptos Narrow"/>
        <family val="2"/>
        <scheme val="minor"/>
      </rPr>
      <t>-1</t>
    </r>
    <r>
      <rPr>
        <sz val="14"/>
        <color theme="1"/>
        <rFont val="Aptos Narrow"/>
        <family val="2"/>
        <scheme val="minor"/>
      </rPr>
      <t>)</t>
    </r>
  </si>
  <si>
    <t>Cambissolo -&gt; 0,024</t>
  </si>
  <si>
    <r>
      <t>R = erosividade da chuva (MJ*mm*há</t>
    </r>
    <r>
      <rPr>
        <vertAlign val="superscript"/>
        <sz val="14"/>
        <color theme="1"/>
        <rFont val="Aptos Narrow"/>
        <family val="2"/>
        <scheme val="minor"/>
      </rPr>
      <t>-1</t>
    </r>
    <r>
      <rPr>
        <sz val="14"/>
        <color theme="1"/>
        <rFont val="Aptos Narrow"/>
        <family val="2"/>
        <scheme val="minor"/>
      </rPr>
      <t>*h</t>
    </r>
    <r>
      <rPr>
        <vertAlign val="superscript"/>
        <sz val="14"/>
        <color theme="1"/>
        <rFont val="Aptos Narrow"/>
        <family val="2"/>
        <scheme val="minor"/>
      </rPr>
      <t>-1</t>
    </r>
    <r>
      <rPr>
        <sz val="14"/>
        <color theme="1"/>
        <rFont val="Aptos Narrow"/>
        <family val="2"/>
        <scheme val="minor"/>
      </rPr>
      <t>*ano</t>
    </r>
    <r>
      <rPr>
        <vertAlign val="superscript"/>
        <sz val="14"/>
        <color theme="1"/>
        <rFont val="Aptos Narrow"/>
        <family val="2"/>
        <scheme val="minor"/>
      </rPr>
      <t>-1</t>
    </r>
    <r>
      <rPr>
        <sz val="14"/>
        <color theme="1"/>
        <rFont val="Aptos Narrow"/>
        <family val="2"/>
        <scheme val="minor"/>
      </rPr>
      <t>)</t>
    </r>
  </si>
  <si>
    <t>Areia quartzosa -&gt; 0,027</t>
  </si>
  <si>
    <t>LS = fator topográfico (adimensional) = 0,00984*(L^0,63)*(S^1,18)</t>
  </si>
  <si>
    <t>CP = variável antrópica (0 a 1, adimensional)</t>
  </si>
  <si>
    <t>S(%) = (Distância vertical / Distância horizontal)*100</t>
  </si>
  <si>
    <t xml:space="preserve">PS </t>
  </si>
  <si>
    <t>Pastagem - cultura temporária - recobrimento total -&gt; 0,25</t>
  </si>
  <si>
    <t>Médio: 10 a 25</t>
  </si>
  <si>
    <t>I30 = 67,355(r²/P)^0,85</t>
  </si>
  <si>
    <t>Alto: &gt; 25</t>
  </si>
  <si>
    <t>I30 - média mensal do índice de erosão (MJ*mm/(ha*h*ano)</t>
  </si>
  <si>
    <t>r = precipitação média mensal (mm)</t>
  </si>
  <si>
    <t>P = precipitação média anual (mm)</t>
  </si>
  <si>
    <t>Erosão Laminar. É um processo de degradação do solo pela ação da água da chuva removendo uma fina camada superficial do solo. É um processo contínuo e uniforme, no geral sem formar sulcos visíveis.</t>
  </si>
  <si>
    <t>Aqui será considerada a perda de solo devido à Erosão Laminar</t>
  </si>
  <si>
    <t>Metodologia e Parâmetros</t>
  </si>
  <si>
    <t>Equação Universal de Perda de Solo (EUPS) é uma fórmula para estimar a perda média anual de solo devido à erosão pela água da chuva.</t>
  </si>
  <si>
    <t>PERDA DE SOLO (PS)</t>
  </si>
  <si>
    <t>K -&gt; facilidade do solo ser desagregado</t>
  </si>
  <si>
    <t>R = ΣI30 -&gt; I30 média mensal do índice de erosão em MJ.mm/(ha.h.ano)</t>
  </si>
  <si>
    <t xml:space="preserve">LS = 984*(L^0,63)*(S^1,18) -&gt; L comprimento da rampa; S inclinação da rampa </t>
  </si>
  <si>
    <t>MO moderada</t>
  </si>
  <si>
    <t>FO forte</t>
  </si>
  <si>
    <t>Baixo: &lt;10t*ha-1*ano-1</t>
  </si>
  <si>
    <t>PS em t/ha/ano</t>
  </si>
  <si>
    <t>CCS em mg/kg</t>
  </si>
  <si>
    <t xml:space="preserve">ESTIMATIVA DA QUANTIDADE DE CONTAMINANTE LIGADO AO SOLO PERDIDO (FCPS) </t>
  </si>
  <si>
    <t>QCPS = PS * Concentração do contaminante medida no solo (CCS)</t>
  </si>
  <si>
    <r>
      <t xml:space="preserve">CP </t>
    </r>
    <r>
      <rPr>
        <b/>
        <sz val="10"/>
        <color theme="1"/>
        <rFont val="Aptos Narrow"/>
        <scheme val="minor"/>
      </rPr>
      <t>C fator de cobertura e manejo (proteção vegetal); P fator de práticas conservacionistas</t>
    </r>
  </si>
  <si>
    <t>Floresta nativa -&gt; 0,01</t>
  </si>
  <si>
    <t>Observação: soja descoberta C=0,4</t>
  </si>
  <si>
    <t>Solo exposto (sem práticas) -&gt; 1</t>
  </si>
  <si>
    <t>QCPS em t/ha/ano ou kg/ha/ano</t>
  </si>
  <si>
    <t>Fonte: (Wischmeier e Smith, 1965)</t>
  </si>
  <si>
    <t>Tabela de Cálculo da EUPS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</si>
</sst>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"/>
  </numFmts>
  <fonts count="10"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vertAlign val="superscript"/>
      <sz val="14"/>
      <color theme="1"/>
      <name val="Aptos Narrow"/>
      <family val="2"/>
      <scheme val="minor"/>
    </font>
    <font>
      <sz val="14"/>
      <color theme="1"/>
      <name val="Calibri "/>
    </font>
    <font>
      <sz val="10"/>
      <name val="Verdana"/>
      <family val="2"/>
    </font>
    <font>
      <b/>
      <sz val="11"/>
      <color theme="1"/>
      <name val="Aptos Narrow"/>
      <scheme val="minor"/>
    </font>
    <font>
      <b/>
      <sz val="14"/>
      <color theme="1"/>
      <name val="Aptos Narrow"/>
      <scheme val="minor"/>
    </font>
    <font>
      <b/>
      <sz val="11"/>
      <color theme="1"/>
      <name val="Calibri "/>
    </font>
    <font>
      <b/>
      <sz val="10"/>
      <color theme="1"/>
      <name val="Aptos Narrow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45">
    <xf numFmtId="0" fontId="0" fillId="0" borderId="0" xfId="0"/>
    <xf numFmtId="0" fontId="0" fillId="2" borderId="0" xfId="0" applyFill="1"/>
    <xf numFmtId="0" fontId="2" fillId="2" borderId="0" xfId="0" applyFont="1" applyFill="1"/>
    <xf numFmtId="0" fontId="1" fillId="2" borderId="0" xfId="0" applyFont="1" applyFill="1"/>
    <xf numFmtId="0" fontId="4" fillId="5" borderId="12" xfId="0" applyFont="1" applyFill="1" applyBorder="1" applyAlignment="1">
      <alignment horizontal="left"/>
    </xf>
    <xf numFmtId="0" fontId="4" fillId="4" borderId="12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0" xfId="0" applyFont="1" applyFill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6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4" borderId="15" xfId="0" applyNumberFormat="1" applyFont="1" applyFill="1" applyBorder="1" applyAlignment="1">
      <alignment horizontal="center"/>
    </xf>
    <xf numFmtId="2" fontId="2" fillId="5" borderId="16" xfId="0" applyNumberFormat="1" applyFont="1" applyFill="1" applyBorder="1" applyAlignment="1">
      <alignment horizontal="center"/>
    </xf>
    <xf numFmtId="2" fontId="2" fillId="6" borderId="5" xfId="0" applyNumberFormat="1" applyFont="1" applyFill="1" applyBorder="1" applyAlignment="1">
      <alignment horizontal="center"/>
    </xf>
    <xf numFmtId="165" fontId="1" fillId="4" borderId="15" xfId="0" applyNumberFormat="1" applyFont="1" applyFill="1" applyBorder="1" applyAlignment="1">
      <alignment horizontal="center"/>
    </xf>
    <xf numFmtId="165" fontId="2" fillId="5" borderId="16" xfId="0" applyNumberFormat="1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2" fontId="2" fillId="6" borderId="4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Alignment="1">
      <alignment horizontal="center" vertical="center"/>
    </xf>
    <xf numFmtId="2" fontId="2" fillId="6" borderId="0" xfId="0" applyNumberFormat="1" applyFont="1" applyFill="1" applyAlignment="1">
      <alignment horizontal="center" vertical="center"/>
    </xf>
    <xf numFmtId="2" fontId="2" fillId="5" borderId="16" xfId="0" applyNumberFormat="1" applyFont="1" applyFill="1" applyBorder="1" applyAlignment="1">
      <alignment horizontal="center" vertical="center"/>
    </xf>
    <xf numFmtId="2" fontId="2" fillId="6" borderId="15" xfId="0" applyNumberFormat="1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6" fillId="2" borderId="0" xfId="0" applyFont="1" applyFill="1"/>
    <xf numFmtId="0" fontId="7" fillId="2" borderId="0" xfId="0" applyFont="1" applyFill="1"/>
    <xf numFmtId="0" fontId="8" fillId="2" borderId="0" xfId="0" applyFont="1" applyFill="1" applyAlignment="1">
      <alignment horizontal="right"/>
    </xf>
    <xf numFmtId="0" fontId="2" fillId="2" borderId="1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</cellXfs>
  <cellStyles count="2">
    <cellStyle name="Normal" xfId="0" builtinId="0"/>
    <cellStyle name="Normal 2" xfId="1" xr:uid="{5C8EFF90-0A28-4BC2-81C1-5D18064C80B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Edison\Downloads\Aplicativo%20GGA.v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Balanço Hídrico"/>
      <sheetName val="HJULSTROM"/>
      <sheetName val="Eq Un de Perda de Solo (USLE) "/>
      <sheetName val="Exportação de Sedimentos (MUSLE"/>
      <sheetName val="Tipos de fluxo (REYNOLDS)"/>
      <sheetName val="v de Sedimentação (STOKES)"/>
      <sheetName val="Hidrodinâmica"/>
      <sheetName val="FE"/>
      <sheetName val="QR"/>
      <sheetName val="IREP"/>
    </sheetNames>
    <sheetDataSet>
      <sheetData sheetId="0"/>
      <sheetData sheetId="1">
        <row r="2">
          <cell r="E2">
            <v>120</v>
          </cell>
          <cell r="H2">
            <v>109.36095305938309</v>
          </cell>
        </row>
        <row r="3">
          <cell r="E3">
            <v>110</v>
          </cell>
          <cell r="H3">
            <v>111.48983764891473</v>
          </cell>
        </row>
        <row r="4">
          <cell r="E4">
            <v>80</v>
          </cell>
          <cell r="H4">
            <v>70.554464537953081</v>
          </cell>
        </row>
        <row r="5">
          <cell r="E5">
            <v>110</v>
          </cell>
          <cell r="H5">
            <v>63.310046237973914</v>
          </cell>
        </row>
        <row r="6">
          <cell r="E6">
            <v>120</v>
          </cell>
          <cell r="H6">
            <v>59.22625391729521</v>
          </cell>
        </row>
        <row r="7">
          <cell r="E7">
            <v>137</v>
          </cell>
          <cell r="H7">
            <v>42.256557828452827</v>
          </cell>
        </row>
        <row r="8">
          <cell r="E8">
            <v>121</v>
          </cell>
          <cell r="H8">
            <v>40.714060538012959</v>
          </cell>
        </row>
        <row r="9">
          <cell r="E9">
            <v>122</v>
          </cell>
          <cell r="H9">
            <v>48.130015499710396</v>
          </cell>
        </row>
        <row r="10">
          <cell r="E10">
            <v>135</v>
          </cell>
          <cell r="H10">
            <v>53.300428497895915</v>
          </cell>
        </row>
        <row r="11">
          <cell r="E11">
            <v>117</v>
          </cell>
          <cell r="H11">
            <v>71.344143048631011</v>
          </cell>
        </row>
        <row r="12">
          <cell r="E12">
            <v>93</v>
          </cell>
          <cell r="H12">
            <v>85.155696485735987</v>
          </cell>
        </row>
        <row r="13">
          <cell r="E13">
            <v>97</v>
          </cell>
          <cell r="H13">
            <v>102.02190525682772</v>
          </cell>
        </row>
      </sheetData>
      <sheetData sheetId="2">
        <row r="2">
          <cell r="A2" t="str">
            <v>Diâmetro do grão (mm)</v>
          </cell>
        </row>
        <row r="3">
          <cell r="A3"/>
          <cell r="B3"/>
        </row>
        <row r="4">
          <cell r="A4"/>
          <cell r="B4"/>
        </row>
        <row r="5">
          <cell r="A5"/>
          <cell r="B5"/>
        </row>
        <row r="6">
          <cell r="A6"/>
          <cell r="B6"/>
        </row>
        <row r="7">
          <cell r="A7"/>
          <cell r="B7"/>
        </row>
        <row r="8">
          <cell r="A8"/>
          <cell r="B8"/>
        </row>
        <row r="9">
          <cell r="A9"/>
          <cell r="B9"/>
        </row>
        <row r="10">
          <cell r="A10"/>
          <cell r="B10"/>
        </row>
        <row r="11">
          <cell r="A11"/>
          <cell r="B11"/>
        </row>
        <row r="12">
          <cell r="A12"/>
          <cell r="B12"/>
        </row>
        <row r="13">
          <cell r="A13"/>
          <cell r="B13"/>
        </row>
        <row r="14">
          <cell r="A14"/>
          <cell r="B14"/>
        </row>
        <row r="15">
          <cell r="A15"/>
          <cell r="B15"/>
        </row>
        <row r="16">
          <cell r="A16"/>
          <cell r="B16"/>
        </row>
        <row r="17">
          <cell r="A17"/>
          <cell r="B17"/>
        </row>
        <row r="18">
          <cell r="A18"/>
          <cell r="B18"/>
        </row>
        <row r="19">
          <cell r="A19"/>
          <cell r="B19"/>
        </row>
        <row r="20">
          <cell r="A20"/>
          <cell r="B20"/>
        </row>
        <row r="21">
          <cell r="A21"/>
          <cell r="B21"/>
        </row>
      </sheetData>
      <sheetData sheetId="3"/>
      <sheetData sheetId="4"/>
      <sheetData sheetId="5"/>
      <sheetData sheetId="6"/>
      <sheetData sheetId="7">
        <row r="2">
          <cell r="AJ2">
            <v>65</v>
          </cell>
          <cell r="AK2">
            <v>50</v>
          </cell>
        </row>
        <row r="3">
          <cell r="AJ3">
            <v>35</v>
          </cell>
          <cell r="AK3">
            <v>30</v>
          </cell>
        </row>
        <row r="4">
          <cell r="AJ4">
            <v>60</v>
          </cell>
          <cell r="AK4">
            <v>20</v>
          </cell>
        </row>
        <row r="5">
          <cell r="AJ5">
            <v>50</v>
          </cell>
          <cell r="AK5">
            <v>20</v>
          </cell>
        </row>
        <row r="6">
          <cell r="AJ6">
            <v>25</v>
          </cell>
          <cell r="AK6">
            <v>30</v>
          </cell>
        </row>
        <row r="7">
          <cell r="AJ7">
            <v>60</v>
          </cell>
          <cell r="AK7">
            <v>40</v>
          </cell>
        </row>
        <row r="8">
          <cell r="AJ8">
            <v>80</v>
          </cell>
          <cell r="AK8">
            <v>40</v>
          </cell>
        </row>
        <row r="9">
          <cell r="AJ9">
            <v>50</v>
          </cell>
          <cell r="AK9">
            <v>50</v>
          </cell>
        </row>
        <row r="10">
          <cell r="AJ10">
            <v>49.5</v>
          </cell>
          <cell r="AK10">
            <v>33</v>
          </cell>
        </row>
        <row r="11">
          <cell r="AJ11">
            <v>46.5</v>
          </cell>
          <cell r="AK11">
            <v>83</v>
          </cell>
        </row>
        <row r="12">
          <cell r="AJ12">
            <v>0</v>
          </cell>
          <cell r="AK12">
            <v>0</v>
          </cell>
        </row>
        <row r="13">
          <cell r="AJ13">
            <v>0</v>
          </cell>
          <cell r="AK13">
            <v>0</v>
          </cell>
        </row>
        <row r="14">
          <cell r="AJ14">
            <v>0</v>
          </cell>
          <cell r="AK14">
            <v>0</v>
          </cell>
        </row>
        <row r="15">
          <cell r="AJ15">
            <v>0</v>
          </cell>
          <cell r="AK15">
            <v>0</v>
          </cell>
        </row>
        <row r="16">
          <cell r="AJ16">
            <v>0</v>
          </cell>
          <cell r="AK16">
            <v>0</v>
          </cell>
        </row>
        <row r="17">
          <cell r="AJ17">
            <v>0</v>
          </cell>
          <cell r="AK17">
            <v>0</v>
          </cell>
        </row>
        <row r="18">
          <cell r="AJ18">
            <v>0</v>
          </cell>
          <cell r="AK18">
            <v>0</v>
          </cell>
        </row>
        <row r="19">
          <cell r="AJ19">
            <v>0</v>
          </cell>
          <cell r="AK19">
            <v>0</v>
          </cell>
        </row>
        <row r="20">
          <cell r="AJ20">
            <v>0</v>
          </cell>
          <cell r="AK20">
            <v>0</v>
          </cell>
        </row>
        <row r="21">
          <cell r="AJ21">
            <v>0</v>
          </cell>
          <cell r="AK21">
            <v>0</v>
          </cell>
        </row>
        <row r="22">
          <cell r="AJ22">
            <v>0</v>
          </cell>
          <cell r="AK22">
            <v>0</v>
          </cell>
        </row>
        <row r="23">
          <cell r="AJ23">
            <v>0</v>
          </cell>
          <cell r="AK23">
            <v>0</v>
          </cell>
        </row>
        <row r="24">
          <cell r="AJ24">
            <v>0</v>
          </cell>
          <cell r="AK24">
            <v>0</v>
          </cell>
        </row>
        <row r="25">
          <cell r="AJ25">
            <v>0</v>
          </cell>
          <cell r="AK25">
            <v>0</v>
          </cell>
        </row>
        <row r="26">
          <cell r="AJ26">
            <v>0</v>
          </cell>
          <cell r="AK26">
            <v>0</v>
          </cell>
        </row>
        <row r="27">
          <cell r="AJ27">
            <v>0</v>
          </cell>
          <cell r="AK27">
            <v>0</v>
          </cell>
        </row>
        <row r="28">
          <cell r="AJ28">
            <v>0</v>
          </cell>
          <cell r="AK28">
            <v>0</v>
          </cell>
        </row>
        <row r="29">
          <cell r="AJ29">
            <v>0</v>
          </cell>
          <cell r="AK29">
            <v>0</v>
          </cell>
        </row>
        <row r="30">
          <cell r="AJ30">
            <v>0</v>
          </cell>
          <cell r="AK30">
            <v>0</v>
          </cell>
        </row>
        <row r="31">
          <cell r="AJ31">
            <v>0</v>
          </cell>
          <cell r="AK31">
            <v>0</v>
          </cell>
        </row>
        <row r="32">
          <cell r="AJ32">
            <v>0</v>
          </cell>
          <cell r="AK32">
            <v>0</v>
          </cell>
        </row>
        <row r="33">
          <cell r="AJ33">
            <v>0</v>
          </cell>
          <cell r="AK33">
            <v>0</v>
          </cell>
        </row>
        <row r="34">
          <cell r="AJ34">
            <v>0</v>
          </cell>
          <cell r="AK34">
            <v>0</v>
          </cell>
        </row>
        <row r="35">
          <cell r="AJ35"/>
          <cell r="AK35"/>
        </row>
        <row r="36">
          <cell r="AJ36"/>
          <cell r="AK36"/>
        </row>
        <row r="37">
          <cell r="AJ37"/>
          <cell r="AK37"/>
        </row>
        <row r="38">
          <cell r="AJ38"/>
          <cell r="AK38"/>
        </row>
        <row r="39">
          <cell r="AJ39"/>
          <cell r="AK39"/>
        </row>
        <row r="40">
          <cell r="AJ40"/>
          <cell r="AK40"/>
        </row>
        <row r="41">
          <cell r="AJ41"/>
          <cell r="AK41"/>
        </row>
        <row r="42">
          <cell r="AJ42"/>
          <cell r="AK42"/>
        </row>
        <row r="43">
          <cell r="AJ43"/>
          <cell r="AK43"/>
        </row>
        <row r="44">
          <cell r="AJ44"/>
          <cell r="AK44"/>
        </row>
        <row r="45">
          <cell r="AJ45"/>
          <cell r="AK45"/>
        </row>
        <row r="46">
          <cell r="AJ46"/>
          <cell r="AK46"/>
        </row>
        <row r="47">
          <cell r="AJ47"/>
          <cell r="AK47"/>
        </row>
        <row r="48">
          <cell r="AJ48"/>
          <cell r="AK48"/>
        </row>
        <row r="49">
          <cell r="AJ49"/>
          <cell r="AK49"/>
        </row>
        <row r="50">
          <cell r="AJ50"/>
          <cell r="AK50"/>
        </row>
        <row r="51">
          <cell r="AJ51"/>
          <cell r="AK51"/>
        </row>
        <row r="52">
          <cell r="AJ52"/>
          <cell r="AK52"/>
        </row>
        <row r="53">
          <cell r="AJ53"/>
          <cell r="AK53"/>
        </row>
        <row r="54">
          <cell r="AJ54"/>
          <cell r="AK54"/>
        </row>
        <row r="55">
          <cell r="AJ55"/>
          <cell r="AK55"/>
        </row>
        <row r="56">
          <cell r="AJ56"/>
          <cell r="AK56"/>
        </row>
        <row r="57">
          <cell r="AJ57"/>
          <cell r="AK57"/>
        </row>
        <row r="58">
          <cell r="G58">
            <v>50</v>
          </cell>
          <cell r="I58">
            <v>100</v>
          </cell>
          <cell r="AJ58"/>
          <cell r="AK58"/>
        </row>
        <row r="59">
          <cell r="G59">
            <v>55</v>
          </cell>
          <cell r="I59">
            <v>90</v>
          </cell>
          <cell r="AJ59"/>
          <cell r="AK59"/>
        </row>
        <row r="60">
          <cell r="G60">
            <v>60</v>
          </cell>
          <cell r="I60">
            <v>80</v>
          </cell>
          <cell r="AJ60"/>
          <cell r="AK60"/>
        </row>
        <row r="61">
          <cell r="G61">
            <v>65</v>
          </cell>
          <cell r="I61">
            <v>70</v>
          </cell>
          <cell r="AJ61"/>
          <cell r="AK61"/>
        </row>
        <row r="62">
          <cell r="G62">
            <v>70</v>
          </cell>
          <cell r="I62">
            <v>60</v>
          </cell>
          <cell r="AJ62"/>
          <cell r="AK62"/>
        </row>
        <row r="63">
          <cell r="G63">
            <v>75</v>
          </cell>
          <cell r="I63">
            <v>50</v>
          </cell>
          <cell r="AJ63"/>
          <cell r="AK63"/>
        </row>
        <row r="64">
          <cell r="G64">
            <v>80</v>
          </cell>
          <cell r="I64">
            <v>40</v>
          </cell>
          <cell r="AJ64"/>
          <cell r="AK64"/>
        </row>
        <row r="65">
          <cell r="G65">
            <v>85</v>
          </cell>
          <cell r="I65">
            <v>30</v>
          </cell>
          <cell r="AJ65"/>
          <cell r="AK65"/>
        </row>
        <row r="66">
          <cell r="G66">
            <v>90</v>
          </cell>
          <cell r="I66">
            <v>20</v>
          </cell>
          <cell r="AJ66"/>
          <cell r="AK66"/>
        </row>
        <row r="67">
          <cell r="G67">
            <v>95</v>
          </cell>
          <cell r="I67">
            <v>10</v>
          </cell>
          <cell r="AJ67"/>
          <cell r="AK67"/>
        </row>
        <row r="68">
          <cell r="G68">
            <v>100</v>
          </cell>
          <cell r="I68">
            <v>0</v>
          </cell>
          <cell r="AJ68"/>
          <cell r="AK68"/>
        </row>
        <row r="69">
          <cell r="AJ69"/>
          <cell r="AK69"/>
        </row>
        <row r="70">
          <cell r="G70">
            <v>50</v>
          </cell>
          <cell r="H70">
            <v>100</v>
          </cell>
          <cell r="AJ70"/>
          <cell r="AK70"/>
        </row>
        <row r="71">
          <cell r="G71">
            <v>45</v>
          </cell>
          <cell r="H71">
            <v>90</v>
          </cell>
          <cell r="AJ71"/>
          <cell r="AK71"/>
        </row>
        <row r="72">
          <cell r="G72">
            <v>40</v>
          </cell>
          <cell r="H72">
            <v>80</v>
          </cell>
          <cell r="AJ72"/>
          <cell r="AK72"/>
        </row>
        <row r="73">
          <cell r="G73">
            <v>35</v>
          </cell>
          <cell r="H73">
            <v>70</v>
          </cell>
          <cell r="AJ73"/>
          <cell r="AK73"/>
        </row>
        <row r="74">
          <cell r="G74">
            <v>30</v>
          </cell>
          <cell r="H74">
            <v>60</v>
          </cell>
          <cell r="AJ74"/>
          <cell r="AK74"/>
        </row>
        <row r="75">
          <cell r="G75">
            <v>25</v>
          </cell>
          <cell r="H75">
            <v>50</v>
          </cell>
          <cell r="AJ75"/>
          <cell r="AK75"/>
        </row>
        <row r="76">
          <cell r="G76">
            <v>20</v>
          </cell>
          <cell r="H76">
            <v>40</v>
          </cell>
          <cell r="AJ76"/>
          <cell r="AK76"/>
        </row>
        <row r="77">
          <cell r="G77">
            <v>15</v>
          </cell>
          <cell r="H77">
            <v>30</v>
          </cell>
          <cell r="AJ77"/>
          <cell r="AK77"/>
        </row>
        <row r="78">
          <cell r="G78">
            <v>10</v>
          </cell>
          <cell r="H78">
            <v>20</v>
          </cell>
          <cell r="AJ78"/>
          <cell r="AK78"/>
        </row>
        <row r="79">
          <cell r="G79">
            <v>5</v>
          </cell>
          <cell r="H79">
            <v>10</v>
          </cell>
          <cell r="AJ79"/>
          <cell r="AK79"/>
        </row>
        <row r="80">
          <cell r="G80">
            <v>0</v>
          </cell>
          <cell r="H80">
            <v>0</v>
          </cell>
          <cell r="I80">
            <v>100</v>
          </cell>
          <cell r="AJ80"/>
          <cell r="AK80"/>
        </row>
        <row r="81">
          <cell r="AJ81"/>
          <cell r="AK81"/>
        </row>
        <row r="82">
          <cell r="G82">
            <v>55</v>
          </cell>
          <cell r="I82">
            <v>90</v>
          </cell>
          <cell r="AJ82"/>
          <cell r="AK82"/>
        </row>
        <row r="83">
          <cell r="G83">
            <v>45</v>
          </cell>
          <cell r="I83">
            <v>90</v>
          </cell>
          <cell r="AJ83"/>
          <cell r="AK83"/>
        </row>
        <row r="84">
          <cell r="G84"/>
          <cell r="I84"/>
          <cell r="AJ84"/>
          <cell r="AK84"/>
        </row>
        <row r="85">
          <cell r="G85">
            <v>60</v>
          </cell>
          <cell r="I85">
            <v>80</v>
          </cell>
          <cell r="AJ85"/>
          <cell r="AK85"/>
        </row>
        <row r="86">
          <cell r="G86">
            <v>40</v>
          </cell>
          <cell r="I86">
            <v>80</v>
          </cell>
          <cell r="AJ86"/>
          <cell r="AK86"/>
        </row>
        <row r="87">
          <cell r="G87"/>
          <cell r="I87"/>
          <cell r="AJ87"/>
          <cell r="AK87"/>
        </row>
        <row r="88">
          <cell r="G88">
            <v>65</v>
          </cell>
          <cell r="I88">
            <v>70</v>
          </cell>
          <cell r="AJ88"/>
          <cell r="AK88"/>
        </row>
        <row r="89">
          <cell r="G89">
            <v>35</v>
          </cell>
          <cell r="I89">
            <v>70</v>
          </cell>
          <cell r="AJ89"/>
          <cell r="AK89"/>
        </row>
        <row r="90">
          <cell r="G90"/>
          <cell r="I90"/>
          <cell r="AJ90"/>
          <cell r="AK90"/>
        </row>
        <row r="91">
          <cell r="G91">
            <v>70</v>
          </cell>
          <cell r="I91">
            <v>60</v>
          </cell>
          <cell r="AJ91"/>
          <cell r="AK91"/>
        </row>
        <row r="92">
          <cell r="G92">
            <v>30</v>
          </cell>
          <cell r="I92">
            <v>60</v>
          </cell>
          <cell r="AJ92"/>
          <cell r="AK92"/>
        </row>
        <row r="93">
          <cell r="G93"/>
          <cell r="I93"/>
          <cell r="AJ93"/>
          <cell r="AK93"/>
        </row>
        <row r="94">
          <cell r="G94">
            <v>75</v>
          </cell>
          <cell r="I94">
            <v>50</v>
          </cell>
          <cell r="AJ94"/>
          <cell r="AK94"/>
        </row>
        <row r="95">
          <cell r="G95">
            <v>25</v>
          </cell>
          <cell r="I95">
            <v>50</v>
          </cell>
          <cell r="AJ95"/>
          <cell r="AK95"/>
        </row>
        <row r="96">
          <cell r="G96"/>
          <cell r="I96"/>
          <cell r="AJ96"/>
          <cell r="AK96"/>
        </row>
        <row r="97">
          <cell r="G97">
            <v>80</v>
          </cell>
          <cell r="I97">
            <v>40</v>
          </cell>
          <cell r="AJ97"/>
          <cell r="AK97"/>
        </row>
        <row r="98">
          <cell r="G98">
            <v>20</v>
          </cell>
          <cell r="I98">
            <v>40</v>
          </cell>
          <cell r="AJ98"/>
          <cell r="AK98"/>
        </row>
        <row r="99">
          <cell r="G99"/>
          <cell r="I99"/>
          <cell r="AJ99"/>
          <cell r="AK99"/>
        </row>
        <row r="100">
          <cell r="G100">
            <v>85</v>
          </cell>
          <cell r="I100">
            <v>30</v>
          </cell>
          <cell r="AJ100"/>
          <cell r="AK100"/>
        </row>
        <row r="101">
          <cell r="G101">
            <v>15</v>
          </cell>
          <cell r="I101">
            <v>30</v>
          </cell>
          <cell r="AJ101"/>
          <cell r="AK101"/>
        </row>
        <row r="102">
          <cell r="G102"/>
          <cell r="I102"/>
          <cell r="AJ102"/>
          <cell r="AK102"/>
        </row>
        <row r="103">
          <cell r="G103">
            <v>90</v>
          </cell>
          <cell r="I103">
            <v>20</v>
          </cell>
          <cell r="AJ103"/>
          <cell r="AK103"/>
        </row>
        <row r="104">
          <cell r="G104">
            <v>10</v>
          </cell>
          <cell r="I104">
            <v>20</v>
          </cell>
          <cell r="AJ104"/>
          <cell r="AK104"/>
        </row>
        <row r="105">
          <cell r="G105"/>
          <cell r="I105"/>
          <cell r="AJ105"/>
          <cell r="AK105"/>
        </row>
        <row r="106">
          <cell r="G106">
            <v>95</v>
          </cell>
          <cell r="I106">
            <v>10</v>
          </cell>
          <cell r="AJ106"/>
          <cell r="AK106"/>
        </row>
        <row r="107">
          <cell r="G107">
            <v>5</v>
          </cell>
          <cell r="I107">
            <v>10</v>
          </cell>
          <cell r="AJ107"/>
          <cell r="AK107"/>
        </row>
        <row r="108">
          <cell r="G108"/>
          <cell r="I108"/>
          <cell r="AJ108"/>
          <cell r="AK108"/>
        </row>
        <row r="109">
          <cell r="G109">
            <v>95</v>
          </cell>
          <cell r="I109">
            <v>10</v>
          </cell>
          <cell r="AJ109"/>
          <cell r="AK109"/>
        </row>
        <row r="110">
          <cell r="G110">
            <v>90</v>
          </cell>
          <cell r="I110">
            <v>0</v>
          </cell>
          <cell r="AJ110"/>
          <cell r="AK110"/>
        </row>
        <row r="111">
          <cell r="G111"/>
          <cell r="I111"/>
          <cell r="AJ111"/>
          <cell r="AK111"/>
        </row>
        <row r="112">
          <cell r="G112">
            <v>90</v>
          </cell>
          <cell r="I112">
            <v>20</v>
          </cell>
          <cell r="AJ112"/>
          <cell r="AK112"/>
        </row>
        <row r="113">
          <cell r="G113">
            <v>80</v>
          </cell>
          <cell r="I113">
            <v>0</v>
          </cell>
          <cell r="AJ113"/>
          <cell r="AK113"/>
        </row>
        <row r="114">
          <cell r="G114"/>
          <cell r="I114"/>
          <cell r="AJ114"/>
          <cell r="AK114"/>
        </row>
        <row r="115">
          <cell r="G115">
            <v>85</v>
          </cell>
          <cell r="I115">
            <v>30</v>
          </cell>
          <cell r="AJ115"/>
          <cell r="AK115"/>
        </row>
        <row r="116">
          <cell r="G116">
            <v>70</v>
          </cell>
          <cell r="I116">
            <v>0</v>
          </cell>
          <cell r="AJ116"/>
          <cell r="AK116"/>
        </row>
        <row r="117">
          <cell r="G117"/>
          <cell r="I117"/>
          <cell r="AJ117"/>
          <cell r="AK117"/>
        </row>
        <row r="118">
          <cell r="G118">
            <v>80</v>
          </cell>
          <cell r="I118">
            <v>40</v>
          </cell>
          <cell r="AJ118"/>
          <cell r="AK118"/>
        </row>
        <row r="119">
          <cell r="G119">
            <v>60</v>
          </cell>
          <cell r="I119">
            <v>0</v>
          </cell>
          <cell r="AJ119"/>
          <cell r="AK119"/>
        </row>
        <row r="120">
          <cell r="G120"/>
          <cell r="I120"/>
          <cell r="AJ120"/>
          <cell r="AK120"/>
        </row>
        <row r="121">
          <cell r="G121">
            <v>75</v>
          </cell>
          <cell r="I121">
            <v>50</v>
          </cell>
          <cell r="AJ121"/>
          <cell r="AK121"/>
        </row>
        <row r="122">
          <cell r="G122">
            <v>50</v>
          </cell>
          <cell r="I122">
            <v>0</v>
          </cell>
          <cell r="AJ122"/>
          <cell r="AK122"/>
        </row>
        <row r="123">
          <cell r="G123"/>
          <cell r="I123"/>
          <cell r="AJ123"/>
          <cell r="AK123"/>
        </row>
        <row r="124">
          <cell r="G124">
            <v>70</v>
          </cell>
          <cell r="I124">
            <v>60</v>
          </cell>
          <cell r="AJ124"/>
          <cell r="AK124"/>
        </row>
        <row r="125">
          <cell r="G125">
            <v>40</v>
          </cell>
          <cell r="I125">
            <v>0</v>
          </cell>
          <cell r="AJ125"/>
          <cell r="AK125"/>
        </row>
        <row r="126">
          <cell r="G126"/>
          <cell r="I126"/>
          <cell r="AJ126"/>
          <cell r="AK126"/>
        </row>
        <row r="127">
          <cell r="G127">
            <v>65</v>
          </cell>
          <cell r="I127">
            <v>70</v>
          </cell>
          <cell r="AJ127"/>
          <cell r="AK127"/>
        </row>
        <row r="128">
          <cell r="G128">
            <v>30</v>
          </cell>
          <cell r="I128">
            <v>0</v>
          </cell>
          <cell r="AJ128"/>
          <cell r="AK128"/>
        </row>
        <row r="129">
          <cell r="G129"/>
          <cell r="I129"/>
          <cell r="AJ129"/>
          <cell r="AK129"/>
        </row>
        <row r="130">
          <cell r="G130">
            <v>60</v>
          </cell>
          <cell r="I130">
            <v>80</v>
          </cell>
          <cell r="AJ130"/>
          <cell r="AK130"/>
        </row>
        <row r="131">
          <cell r="G131">
            <v>20</v>
          </cell>
          <cell r="I131">
            <v>0</v>
          </cell>
          <cell r="AJ131"/>
          <cell r="AK131"/>
        </row>
        <row r="132">
          <cell r="G132"/>
          <cell r="I132"/>
          <cell r="AJ132"/>
          <cell r="AK132"/>
        </row>
        <row r="133">
          <cell r="G133">
            <v>55</v>
          </cell>
          <cell r="I133">
            <v>90</v>
          </cell>
          <cell r="AJ133"/>
          <cell r="AK133"/>
        </row>
        <row r="134">
          <cell r="G134">
            <v>10</v>
          </cell>
          <cell r="I134">
            <v>0</v>
          </cell>
          <cell r="AJ134"/>
          <cell r="AK134"/>
        </row>
        <row r="135">
          <cell r="G135"/>
          <cell r="I135"/>
          <cell r="AJ135"/>
          <cell r="AK135"/>
        </row>
        <row r="136">
          <cell r="G136">
            <v>5</v>
          </cell>
          <cell r="I136">
            <v>10</v>
          </cell>
          <cell r="AJ136"/>
          <cell r="AK136"/>
        </row>
        <row r="137">
          <cell r="G137">
            <v>10</v>
          </cell>
          <cell r="I137">
            <v>0</v>
          </cell>
          <cell r="AJ137"/>
          <cell r="AK137"/>
        </row>
        <row r="138">
          <cell r="G138"/>
          <cell r="I138"/>
          <cell r="AJ138"/>
          <cell r="AK138"/>
        </row>
        <row r="139">
          <cell r="G139">
            <v>10</v>
          </cell>
          <cell r="I139">
            <v>20</v>
          </cell>
          <cell r="AJ139"/>
          <cell r="AK139"/>
        </row>
        <row r="140">
          <cell r="G140">
            <v>20</v>
          </cell>
          <cell r="I140">
            <v>0</v>
          </cell>
          <cell r="AJ140"/>
          <cell r="AK140"/>
        </row>
        <row r="141">
          <cell r="G141"/>
          <cell r="I141"/>
          <cell r="AJ141"/>
          <cell r="AK141"/>
        </row>
        <row r="142">
          <cell r="G142">
            <v>15</v>
          </cell>
          <cell r="I142">
            <v>30</v>
          </cell>
          <cell r="AJ142"/>
          <cell r="AK142"/>
        </row>
        <row r="143">
          <cell r="G143">
            <v>30</v>
          </cell>
          <cell r="I143">
            <v>0</v>
          </cell>
          <cell r="AJ143"/>
          <cell r="AK143"/>
        </row>
        <row r="144">
          <cell r="G144"/>
          <cell r="I144"/>
          <cell r="AJ144"/>
          <cell r="AK144"/>
        </row>
        <row r="145">
          <cell r="G145">
            <v>20</v>
          </cell>
          <cell r="I145">
            <v>40</v>
          </cell>
          <cell r="AJ145"/>
          <cell r="AK145"/>
        </row>
        <row r="146">
          <cell r="G146">
            <v>40</v>
          </cell>
          <cell r="I146">
            <v>0</v>
          </cell>
          <cell r="AJ146"/>
          <cell r="AK146"/>
        </row>
        <row r="147">
          <cell r="G147"/>
          <cell r="I147"/>
          <cell r="AJ147"/>
          <cell r="AK147"/>
        </row>
        <row r="148">
          <cell r="G148">
            <v>25</v>
          </cell>
          <cell r="I148">
            <v>50</v>
          </cell>
          <cell r="AJ148"/>
          <cell r="AK148"/>
        </row>
        <row r="149">
          <cell r="G149">
            <v>50</v>
          </cell>
          <cell r="I149">
            <v>0</v>
          </cell>
          <cell r="AJ149"/>
          <cell r="AK149"/>
        </row>
        <row r="150">
          <cell r="G150"/>
          <cell r="I150"/>
          <cell r="AJ150"/>
          <cell r="AK150"/>
        </row>
        <row r="151">
          <cell r="G151">
            <v>30</v>
          </cell>
          <cell r="I151">
            <v>60</v>
          </cell>
          <cell r="AJ151"/>
          <cell r="AK151"/>
        </row>
        <row r="152">
          <cell r="G152">
            <v>60</v>
          </cell>
          <cell r="I152">
            <v>0</v>
          </cell>
          <cell r="AJ152"/>
          <cell r="AK152"/>
        </row>
        <row r="153">
          <cell r="G153"/>
          <cell r="I153"/>
          <cell r="AJ153"/>
          <cell r="AK153"/>
        </row>
        <row r="154">
          <cell r="G154">
            <v>35</v>
          </cell>
          <cell r="I154">
            <v>70</v>
          </cell>
          <cell r="AJ154"/>
          <cell r="AK154"/>
        </row>
        <row r="155">
          <cell r="G155">
            <v>70</v>
          </cell>
          <cell r="I155">
            <v>0</v>
          </cell>
          <cell r="AJ155"/>
          <cell r="AK155"/>
        </row>
        <row r="156">
          <cell r="G156"/>
          <cell r="I156"/>
          <cell r="AJ156"/>
          <cell r="AK156"/>
        </row>
        <row r="157">
          <cell r="G157">
            <v>40</v>
          </cell>
          <cell r="I157">
            <v>80</v>
          </cell>
          <cell r="AJ157"/>
          <cell r="AK157"/>
        </row>
        <row r="158">
          <cell r="G158">
            <v>80</v>
          </cell>
          <cell r="I158">
            <v>0</v>
          </cell>
          <cell r="AJ158"/>
          <cell r="AK158"/>
        </row>
        <row r="159">
          <cell r="G159"/>
          <cell r="I159"/>
          <cell r="AJ159"/>
          <cell r="AK159"/>
        </row>
        <row r="160">
          <cell r="G160">
            <v>45</v>
          </cell>
          <cell r="I160">
            <v>90</v>
          </cell>
          <cell r="AJ160"/>
          <cell r="AK160"/>
        </row>
        <row r="161">
          <cell r="G161">
            <v>90</v>
          </cell>
          <cell r="I161">
            <v>0</v>
          </cell>
          <cell r="AJ161"/>
          <cell r="AK161"/>
        </row>
        <row r="162">
          <cell r="G162">
            <v>37.5</v>
          </cell>
          <cell r="H162">
            <v>75</v>
          </cell>
          <cell r="V162">
            <v>5</v>
          </cell>
          <cell r="W162">
            <v>10</v>
          </cell>
        </row>
        <row r="163">
          <cell r="G163">
            <v>62.5</v>
          </cell>
          <cell r="H163">
            <v>75</v>
          </cell>
          <cell r="V163">
            <v>10</v>
          </cell>
          <cell r="W163">
            <v>0</v>
          </cell>
        </row>
        <row r="164">
          <cell r="G164"/>
          <cell r="H164"/>
          <cell r="V164"/>
          <cell r="W164"/>
        </row>
        <row r="165">
          <cell r="G165">
            <v>50</v>
          </cell>
          <cell r="H165">
            <v>75</v>
          </cell>
          <cell r="V165">
            <v>25</v>
          </cell>
          <cell r="W165">
            <v>50</v>
          </cell>
        </row>
        <row r="166">
          <cell r="G166">
            <v>50</v>
          </cell>
          <cell r="H166">
            <v>60</v>
          </cell>
          <cell r="V166">
            <v>50</v>
          </cell>
          <cell r="W166">
            <v>0</v>
          </cell>
        </row>
        <row r="167">
          <cell r="G167"/>
          <cell r="H167"/>
          <cell r="V167"/>
          <cell r="W167"/>
        </row>
        <row r="168">
          <cell r="G168">
            <v>25</v>
          </cell>
          <cell r="H168">
            <v>50</v>
          </cell>
          <cell r="V168">
            <v>45</v>
          </cell>
          <cell r="W168">
            <v>90</v>
          </cell>
        </row>
        <row r="169">
          <cell r="G169">
            <v>40</v>
          </cell>
          <cell r="H169">
            <v>40</v>
          </cell>
          <cell r="V169">
            <v>90</v>
          </cell>
          <cell r="W169">
            <v>0</v>
          </cell>
        </row>
        <row r="170">
          <cell r="G170"/>
          <cell r="H170"/>
          <cell r="V170"/>
          <cell r="W170"/>
        </row>
        <row r="171">
          <cell r="G171">
            <v>75</v>
          </cell>
          <cell r="H171">
            <v>50</v>
          </cell>
          <cell r="V171">
            <v>60</v>
          </cell>
          <cell r="W171">
            <v>80</v>
          </cell>
        </row>
        <row r="172">
          <cell r="G172">
            <v>60</v>
          </cell>
          <cell r="H172">
            <v>40</v>
          </cell>
          <cell r="V172">
            <v>0</v>
          </cell>
          <cell r="W172">
            <v>0</v>
          </cell>
        </row>
        <row r="173">
          <cell r="G173"/>
          <cell r="H173"/>
          <cell r="V173"/>
          <cell r="W173"/>
        </row>
        <row r="174">
          <cell r="G174">
            <v>50</v>
          </cell>
          <cell r="H174">
            <v>0</v>
          </cell>
          <cell r="V174">
            <v>75</v>
          </cell>
          <cell r="W174">
            <v>50</v>
          </cell>
        </row>
        <row r="175">
          <cell r="G175">
            <v>50</v>
          </cell>
          <cell r="H175">
            <v>20</v>
          </cell>
          <cell r="V175">
            <v>0</v>
          </cell>
          <cell r="W175">
            <v>0</v>
          </cell>
        </row>
        <row r="176">
          <cell r="G176"/>
          <cell r="H176"/>
          <cell r="V176"/>
          <cell r="W176"/>
        </row>
        <row r="177">
          <cell r="G177">
            <v>12.5</v>
          </cell>
          <cell r="H177">
            <v>25</v>
          </cell>
          <cell r="V177">
            <v>90</v>
          </cell>
          <cell r="W177">
            <v>20</v>
          </cell>
        </row>
        <row r="178">
          <cell r="G178">
            <v>25</v>
          </cell>
          <cell r="H178">
            <v>0</v>
          </cell>
          <cell r="V178">
            <v>0</v>
          </cell>
          <cell r="W178">
            <v>0</v>
          </cell>
        </row>
        <row r="179">
          <cell r="G179"/>
          <cell r="H179"/>
        </row>
        <row r="180">
          <cell r="G180">
            <v>87.5</v>
          </cell>
          <cell r="H180">
            <v>25</v>
          </cell>
        </row>
        <row r="181">
          <cell r="G181">
            <v>75</v>
          </cell>
          <cell r="H181">
            <v>0</v>
          </cell>
        </row>
        <row r="182">
          <cell r="G182"/>
          <cell r="H182"/>
        </row>
        <row r="183">
          <cell r="G183">
            <v>30</v>
          </cell>
          <cell r="H183">
            <v>20</v>
          </cell>
        </row>
        <row r="184">
          <cell r="G184">
            <v>18.75</v>
          </cell>
          <cell r="H184">
            <v>12.5</v>
          </cell>
        </row>
        <row r="185">
          <cell r="G185"/>
          <cell r="H185"/>
        </row>
        <row r="186">
          <cell r="G186">
            <v>70</v>
          </cell>
          <cell r="H186">
            <v>20</v>
          </cell>
        </row>
        <row r="187">
          <cell r="G187">
            <v>81.25</v>
          </cell>
          <cell r="H187">
            <v>12.5</v>
          </cell>
        </row>
        <row r="188">
          <cell r="G188"/>
          <cell r="H188"/>
        </row>
        <row r="189">
          <cell r="G189">
            <v>50</v>
          </cell>
          <cell r="H189">
            <v>60</v>
          </cell>
        </row>
        <row r="190">
          <cell r="G190">
            <v>70</v>
          </cell>
          <cell r="H190">
            <v>20</v>
          </cell>
        </row>
        <row r="191">
          <cell r="G191">
            <v>30</v>
          </cell>
          <cell r="H191">
            <v>20</v>
          </cell>
        </row>
        <row r="192">
          <cell r="G192">
            <v>50</v>
          </cell>
          <cell r="H192">
            <v>60</v>
          </cell>
        </row>
        <row r="193">
          <cell r="G193">
            <v>30</v>
          </cell>
          <cell r="H193">
            <v>20</v>
          </cell>
        </row>
      </sheetData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73B4BB-C9A5-4179-A758-E0CC89D5B954}">
  <dimension ref="A1:K56"/>
  <sheetViews>
    <sheetView tabSelected="1" zoomScale="110" zoomScaleNormal="110" workbookViewId="0">
      <selection activeCell="A18" sqref="A18"/>
    </sheetView>
  </sheetViews>
  <sheetFormatPr defaultColWidth="9.19921875" defaultRowHeight="13.8"/>
  <cols>
    <col min="1" max="1" width="27.19921875" style="1" bestFit="1" customWidth="1"/>
    <col min="2" max="2" width="33.69921875" style="1" bestFit="1" customWidth="1"/>
    <col min="3" max="3" width="31.69921875" style="1" customWidth="1"/>
    <col min="4" max="4" width="34.5" style="1" customWidth="1"/>
    <col min="5" max="5" width="36.69921875" style="1" customWidth="1"/>
    <col min="6" max="6" width="19.19921875" style="1" bestFit="1" customWidth="1"/>
    <col min="7" max="7" width="29.296875" style="1" bestFit="1" customWidth="1"/>
    <col min="8" max="8" width="26.5" style="1" customWidth="1"/>
    <col min="9" max="9" width="33" style="1" bestFit="1" customWidth="1"/>
    <col min="10" max="10" width="39.796875" style="1" bestFit="1" customWidth="1"/>
    <col min="11" max="11" width="47.19921875" style="1" bestFit="1" customWidth="1"/>
    <col min="12" max="16384" width="9.19921875" style="1"/>
  </cols>
  <sheetData>
    <row r="1" spans="1:1">
      <c r="A1" s="40" t="s">
        <v>59</v>
      </c>
    </row>
    <row r="2" spans="1:1">
      <c r="A2" s="40" t="s">
        <v>56</v>
      </c>
    </row>
    <row r="3" spans="1:1">
      <c r="A3" s="1" t="s">
        <v>55</v>
      </c>
    </row>
    <row r="4" spans="1:1">
      <c r="A4" s="1" t="s">
        <v>57</v>
      </c>
    </row>
    <row r="5" spans="1:1">
      <c r="A5" s="40" t="s">
        <v>58</v>
      </c>
    </row>
    <row r="6" spans="1:1">
      <c r="A6" s="40" t="s">
        <v>75</v>
      </c>
    </row>
    <row r="7" spans="1:1" ht="17.399999999999999">
      <c r="A7" s="41" t="s">
        <v>34</v>
      </c>
    </row>
    <row r="8" spans="1:1" ht="19.8">
      <c r="A8" s="2" t="s">
        <v>37</v>
      </c>
    </row>
    <row r="9" spans="1:1" ht="19.8">
      <c r="A9" s="2" t="s">
        <v>40</v>
      </c>
    </row>
    <row r="10" spans="1:1" ht="19.8">
      <c r="A10" s="2" t="s">
        <v>42</v>
      </c>
    </row>
    <row r="11" spans="1:1" ht="17.399999999999999">
      <c r="A11" s="2" t="s">
        <v>44</v>
      </c>
    </row>
    <row r="12" spans="1:1" ht="17.399999999999999">
      <c r="A12" s="2" t="s">
        <v>45</v>
      </c>
    </row>
    <row r="13" spans="1:1" ht="17.399999999999999">
      <c r="A13" s="3" t="s">
        <v>47</v>
      </c>
    </row>
    <row r="14" spans="1:1" ht="17.399999999999999">
      <c r="A14" s="2" t="s">
        <v>65</v>
      </c>
    </row>
    <row r="15" spans="1:1" ht="17.399999999999999">
      <c r="A15" s="2" t="s">
        <v>49</v>
      </c>
    </row>
    <row r="16" spans="1:1" ht="17.399999999999999">
      <c r="A16" s="2" t="s">
        <v>51</v>
      </c>
    </row>
    <row r="17" spans="1:11" ht="18" thickBot="1">
      <c r="A17" s="41" t="s">
        <v>76</v>
      </c>
    </row>
    <row r="18" spans="1:11" ht="18" thickBot="1">
      <c r="A18" s="42" t="s">
        <v>12</v>
      </c>
      <c r="B18" s="4"/>
    </row>
    <row r="19" spans="1:11" ht="18" thickBot="1">
      <c r="A19" s="42" t="s">
        <v>13</v>
      </c>
      <c r="B19" s="5"/>
    </row>
    <row r="20" spans="1:11" ht="14.4" thickBot="1"/>
    <row r="21" spans="1:11" ht="17.399999999999999">
      <c r="A21" s="6" t="s">
        <v>14</v>
      </c>
      <c r="B21" s="24" t="s">
        <v>15</v>
      </c>
      <c r="C21" s="24" t="s">
        <v>16</v>
      </c>
      <c r="D21" s="24" t="s">
        <v>17</v>
      </c>
      <c r="E21" s="24" t="s">
        <v>18</v>
      </c>
      <c r="F21" s="24" t="s">
        <v>19</v>
      </c>
      <c r="G21" s="24" t="s">
        <v>20</v>
      </c>
      <c r="H21" s="27" t="s">
        <v>21</v>
      </c>
      <c r="I21" s="28"/>
      <c r="J21" s="24" t="s">
        <v>22</v>
      </c>
      <c r="K21" s="7" t="s">
        <v>23</v>
      </c>
    </row>
    <row r="22" spans="1:11" ht="17.399999999999999">
      <c r="A22" s="8" t="s">
        <v>24</v>
      </c>
      <c r="B22" s="9" t="s">
        <v>25</v>
      </c>
      <c r="C22" s="9" t="s">
        <v>26</v>
      </c>
      <c r="D22" s="9" t="s">
        <v>27</v>
      </c>
      <c r="E22" s="9" t="s">
        <v>28</v>
      </c>
      <c r="F22" s="9" t="s">
        <v>29</v>
      </c>
      <c r="G22" s="9" t="s">
        <v>30</v>
      </c>
      <c r="H22" s="10" t="s">
        <v>0</v>
      </c>
      <c r="I22" s="11" t="s">
        <v>31</v>
      </c>
      <c r="J22" s="9" t="s">
        <v>32</v>
      </c>
      <c r="K22" s="12" t="s">
        <v>33</v>
      </c>
    </row>
    <row r="23" spans="1:11" ht="17.399999999999999">
      <c r="A23" s="29">
        <f>B23*C23*D23*G23</f>
        <v>1477.7979141303181</v>
      </c>
      <c r="B23" s="30">
        <v>2.7E-2</v>
      </c>
      <c r="C23" s="31">
        <f>SUM($K$23:$K$33)</f>
        <v>7946.1472141949462</v>
      </c>
      <c r="D23" s="31">
        <f>0.00984*(E23^0.63)*(F23)^1.18</f>
        <v>6.8880244228455183</v>
      </c>
      <c r="E23" s="30">
        <v>120</v>
      </c>
      <c r="F23" s="30">
        <v>20</v>
      </c>
      <c r="G23" s="32">
        <v>1</v>
      </c>
      <c r="H23" s="13" t="s">
        <v>1</v>
      </c>
      <c r="I23" s="14">
        <v>208</v>
      </c>
      <c r="J23" s="33">
        <f>SUM($I$23:$I$33)</f>
        <v>1350</v>
      </c>
      <c r="K23" s="15">
        <f>67.355*((I23^2)/J$23)^0.85</f>
        <v>1283.1983919113436</v>
      </c>
    </row>
    <row r="24" spans="1:11" ht="17.399999999999999">
      <c r="A24" s="29"/>
      <c r="B24" s="30"/>
      <c r="C24" s="31"/>
      <c r="D24" s="31"/>
      <c r="E24" s="30"/>
      <c r="F24" s="30"/>
      <c r="G24" s="32"/>
      <c r="H24" s="16" t="s">
        <v>2</v>
      </c>
      <c r="I24" s="17">
        <v>168</v>
      </c>
      <c r="J24" s="33"/>
      <c r="K24" s="15">
        <f t="shared" ref="K24:K33" si="0">67.355*((I24^2)/J$23)^0.85</f>
        <v>892.50758607221098</v>
      </c>
    </row>
    <row r="25" spans="1:11" ht="17.399999999999999">
      <c r="A25" s="29"/>
      <c r="B25" s="30"/>
      <c r="C25" s="31"/>
      <c r="D25" s="31"/>
      <c r="E25" s="30"/>
      <c r="F25" s="30"/>
      <c r="G25" s="32"/>
      <c r="H25" s="16" t="s">
        <v>3</v>
      </c>
      <c r="I25" s="17">
        <v>260</v>
      </c>
      <c r="J25" s="33"/>
      <c r="K25" s="15">
        <f t="shared" si="0"/>
        <v>1875.1707879430753</v>
      </c>
    </row>
    <row r="26" spans="1:11" ht="17.399999999999999">
      <c r="A26" s="29"/>
      <c r="B26" s="30"/>
      <c r="C26" s="31"/>
      <c r="D26" s="31"/>
      <c r="E26" s="30"/>
      <c r="F26" s="30"/>
      <c r="G26" s="32"/>
      <c r="H26" s="16" t="s">
        <v>4</v>
      </c>
      <c r="I26" s="17">
        <v>225</v>
      </c>
      <c r="J26" s="33"/>
      <c r="K26" s="15">
        <f t="shared" si="0"/>
        <v>1466.5484594789827</v>
      </c>
    </row>
    <row r="27" spans="1:11" ht="17.399999999999999">
      <c r="A27" s="29"/>
      <c r="B27" s="30"/>
      <c r="C27" s="31"/>
      <c r="D27" s="31"/>
      <c r="E27" s="30"/>
      <c r="F27" s="30"/>
      <c r="G27" s="32"/>
      <c r="H27" s="16" t="s">
        <v>5</v>
      </c>
      <c r="I27" s="17">
        <v>272</v>
      </c>
      <c r="J27" s="33"/>
      <c r="K27" s="15">
        <f t="shared" si="0"/>
        <v>2024.6654603676682</v>
      </c>
    </row>
    <row r="28" spans="1:11" ht="17.399999999999999">
      <c r="A28" s="29"/>
      <c r="B28" s="30"/>
      <c r="C28" s="31"/>
      <c r="D28" s="31"/>
      <c r="E28" s="30"/>
      <c r="F28" s="30"/>
      <c r="G28" s="32"/>
      <c r="H28" s="16" t="s">
        <v>6</v>
      </c>
      <c r="I28" s="17">
        <v>45</v>
      </c>
      <c r="J28" s="33"/>
      <c r="K28" s="15">
        <f t="shared" si="0"/>
        <v>95.070857408968891</v>
      </c>
    </row>
    <row r="29" spans="1:11" ht="17.399999999999999">
      <c r="A29" s="29"/>
      <c r="B29" s="30"/>
      <c r="C29" s="31"/>
      <c r="D29" s="31"/>
      <c r="E29" s="30"/>
      <c r="F29" s="30"/>
      <c r="G29" s="32"/>
      <c r="H29" s="16" t="s">
        <v>7</v>
      </c>
      <c r="I29" s="17">
        <v>26</v>
      </c>
      <c r="J29" s="33"/>
      <c r="K29" s="15">
        <f t="shared" si="0"/>
        <v>37.414576073133176</v>
      </c>
    </row>
    <row r="30" spans="1:11" ht="17.399999999999999">
      <c r="A30" s="29"/>
      <c r="B30" s="30"/>
      <c r="C30" s="31"/>
      <c r="D30" s="31"/>
      <c r="E30" s="30"/>
      <c r="F30" s="30"/>
      <c r="G30" s="32"/>
      <c r="H30" s="16" t="s">
        <v>8</v>
      </c>
      <c r="I30" s="17">
        <v>42</v>
      </c>
      <c r="J30" s="33"/>
      <c r="K30" s="15">
        <f t="shared" si="0"/>
        <v>84.549283371615942</v>
      </c>
    </row>
    <row r="31" spans="1:11" ht="17.399999999999999">
      <c r="A31" s="29"/>
      <c r="B31" s="30"/>
      <c r="C31" s="31"/>
      <c r="D31" s="31"/>
      <c r="E31" s="30"/>
      <c r="F31" s="30"/>
      <c r="G31" s="32"/>
      <c r="H31" s="16" t="s">
        <v>9</v>
      </c>
      <c r="I31" s="17">
        <v>36</v>
      </c>
      <c r="J31" s="33"/>
      <c r="K31" s="15">
        <f t="shared" si="0"/>
        <v>65.057952123198802</v>
      </c>
    </row>
    <row r="32" spans="1:11" ht="17.399999999999999">
      <c r="A32" s="29"/>
      <c r="B32" s="30"/>
      <c r="C32" s="31"/>
      <c r="D32" s="31"/>
      <c r="E32" s="30"/>
      <c r="F32" s="30"/>
      <c r="G32" s="32"/>
      <c r="H32" s="16" t="s">
        <v>10</v>
      </c>
      <c r="I32" s="17">
        <v>42</v>
      </c>
      <c r="J32" s="33"/>
      <c r="K32" s="15">
        <f t="shared" si="0"/>
        <v>84.549283371615942</v>
      </c>
    </row>
    <row r="33" spans="1:11" ht="17.399999999999999">
      <c r="A33" s="29"/>
      <c r="B33" s="30"/>
      <c r="C33" s="31"/>
      <c r="D33" s="31"/>
      <c r="E33" s="30"/>
      <c r="F33" s="30"/>
      <c r="G33" s="32"/>
      <c r="H33" s="16" t="s">
        <v>11</v>
      </c>
      <c r="I33" s="17">
        <v>26</v>
      </c>
      <c r="J33" s="33"/>
      <c r="K33" s="15">
        <f t="shared" si="0"/>
        <v>37.414576073133176</v>
      </c>
    </row>
    <row r="34" spans="1:11" ht="14.4" thickBot="1"/>
    <row r="35" spans="1:11" ht="18" thickBot="1">
      <c r="A35" s="3"/>
      <c r="D35" s="34" t="s">
        <v>60</v>
      </c>
      <c r="E35" s="35"/>
      <c r="F35" s="2"/>
      <c r="G35" s="34" t="s">
        <v>62</v>
      </c>
      <c r="H35" s="36"/>
      <c r="I35" s="35"/>
    </row>
    <row r="36" spans="1:11" ht="17.399999999999999">
      <c r="A36" s="2"/>
      <c r="D36" s="43" t="s">
        <v>35</v>
      </c>
      <c r="E36" s="44"/>
      <c r="F36" s="2"/>
      <c r="G36" s="22"/>
      <c r="H36" s="21" t="s">
        <v>28</v>
      </c>
      <c r="I36" s="23" t="s">
        <v>36</v>
      </c>
    </row>
    <row r="37" spans="1:11" ht="17.399999999999999">
      <c r="A37" s="2"/>
      <c r="D37" s="25" t="s">
        <v>38</v>
      </c>
      <c r="E37" s="26"/>
      <c r="F37" s="2"/>
      <c r="G37" s="22" t="s">
        <v>39</v>
      </c>
      <c r="H37" s="21">
        <v>100</v>
      </c>
      <c r="I37" s="23">
        <v>2</v>
      </c>
    </row>
    <row r="38" spans="1:11" ht="17.399999999999999">
      <c r="A38" s="2"/>
      <c r="D38" s="25" t="s">
        <v>41</v>
      </c>
      <c r="E38" s="26"/>
      <c r="F38" s="2"/>
      <c r="G38" s="22" t="s">
        <v>63</v>
      </c>
      <c r="H38" s="21">
        <v>100</v>
      </c>
      <c r="I38" s="23">
        <v>10</v>
      </c>
    </row>
    <row r="39" spans="1:11" ht="18" thickBot="1">
      <c r="A39" s="2"/>
      <c r="D39" s="37" t="s">
        <v>43</v>
      </c>
      <c r="E39" s="38"/>
      <c r="F39" s="2"/>
      <c r="G39" s="19" t="s">
        <v>64</v>
      </c>
      <c r="H39" s="18">
        <v>100</v>
      </c>
      <c r="I39" s="20">
        <v>20</v>
      </c>
    </row>
    <row r="40" spans="1:11" ht="18" thickBot="1">
      <c r="A40" s="2"/>
      <c r="D40" s="2"/>
      <c r="E40" s="2"/>
      <c r="F40" s="2"/>
      <c r="G40" s="2"/>
      <c r="H40" s="2"/>
      <c r="I40" s="2"/>
    </row>
    <row r="41" spans="1:11" ht="18" thickBot="1">
      <c r="A41" s="2"/>
      <c r="D41" s="34" t="s">
        <v>70</v>
      </c>
      <c r="E41" s="35"/>
      <c r="F41" s="2"/>
      <c r="G41" s="34" t="s">
        <v>46</v>
      </c>
      <c r="H41" s="36"/>
      <c r="I41" s="35"/>
    </row>
    <row r="42" spans="1:11" ht="18" thickBot="1">
      <c r="D42" s="43" t="s">
        <v>71</v>
      </c>
      <c r="E42" s="44"/>
      <c r="F42" s="2"/>
      <c r="G42" s="2"/>
      <c r="H42" s="2"/>
      <c r="I42" s="2"/>
    </row>
    <row r="43" spans="1:11" ht="18" thickBot="1">
      <c r="D43" s="25" t="s">
        <v>48</v>
      </c>
      <c r="E43" s="26"/>
      <c r="F43" s="2"/>
      <c r="G43" s="34" t="s">
        <v>61</v>
      </c>
      <c r="H43" s="36"/>
      <c r="I43" s="35"/>
    </row>
    <row r="44" spans="1:11" ht="18" thickBot="1">
      <c r="D44" s="37" t="s">
        <v>73</v>
      </c>
      <c r="E44" s="38"/>
      <c r="F44" s="2"/>
      <c r="G44" s="2"/>
      <c r="H44" s="2"/>
      <c r="I44" s="2"/>
    </row>
    <row r="45" spans="1:11" ht="18" thickBot="1">
      <c r="D45" s="1" t="s">
        <v>72</v>
      </c>
      <c r="G45" s="34" t="s">
        <v>50</v>
      </c>
      <c r="H45" s="36"/>
      <c r="I45" s="35"/>
    </row>
    <row r="47" spans="1:11" ht="17.399999999999999">
      <c r="G47" s="39" t="s">
        <v>52</v>
      </c>
      <c r="H47" s="39"/>
      <c r="I47" s="39"/>
    </row>
    <row r="48" spans="1:11" ht="17.399999999999999">
      <c r="G48" s="39" t="s">
        <v>53</v>
      </c>
      <c r="H48" s="39"/>
      <c r="I48" s="39"/>
    </row>
    <row r="49" spans="1:9" ht="17.399999999999999">
      <c r="G49" s="39" t="s">
        <v>54</v>
      </c>
      <c r="H49" s="39"/>
      <c r="I49" s="39"/>
    </row>
    <row r="51" spans="1:9">
      <c r="A51" s="40" t="s">
        <v>68</v>
      </c>
    </row>
    <row r="53" spans="1:9">
      <c r="A53" t="s">
        <v>69</v>
      </c>
    </row>
    <row r="54" spans="1:9">
      <c r="A54" s="1" t="s">
        <v>66</v>
      </c>
    </row>
    <row r="55" spans="1:9">
      <c r="A55" s="1" t="s">
        <v>67</v>
      </c>
    </row>
    <row r="56" spans="1:9">
      <c r="A56" s="1" t="s">
        <v>74</v>
      </c>
    </row>
  </sheetData>
  <protectedRanges>
    <protectedRange sqref="B23:B33 E23:G33 I23:I33" name="Intervalo1"/>
  </protectedRanges>
  <mergeCells count="25">
    <mergeCell ref="D44:E44"/>
    <mergeCell ref="G45:I45"/>
    <mergeCell ref="G47:I47"/>
    <mergeCell ref="G48:I48"/>
    <mergeCell ref="G49:I49"/>
    <mergeCell ref="D39:E39"/>
    <mergeCell ref="D41:E41"/>
    <mergeCell ref="G41:I41"/>
    <mergeCell ref="D42:E42"/>
    <mergeCell ref="D43:E43"/>
    <mergeCell ref="G43:I43"/>
    <mergeCell ref="J23:J33"/>
    <mergeCell ref="D35:E35"/>
    <mergeCell ref="G35:I35"/>
    <mergeCell ref="D36:E36"/>
    <mergeCell ref="D37:E37"/>
    <mergeCell ref="D38:E38"/>
    <mergeCell ref="H21:I21"/>
    <mergeCell ref="A23:A33"/>
    <mergeCell ref="B23:B33"/>
    <mergeCell ref="C23:C33"/>
    <mergeCell ref="D23:D33"/>
    <mergeCell ref="E23:E33"/>
    <mergeCell ref="F23:F33"/>
    <mergeCell ref="G23:G33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EUPS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Joao Paulo Goncalves Barreira</dc:creator>
  <cp:lastModifiedBy>Edison</cp:lastModifiedBy>
  <dcterms:created xsi:type="dcterms:W3CDTF">2025-12-18T14:27:37Z</dcterms:created>
  <dcterms:modified xsi:type="dcterms:W3CDTF">2026-08-15T22:14:26Z</dcterms:modified>
</cp:coreProperties>
</file>